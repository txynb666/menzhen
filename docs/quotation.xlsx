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a1c19b16d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单" sheetId="1" r:id="Rba200630d5e3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¥&quot;#,##0"/>
    <x:numFmt numFmtId="202" formatCode="0%"/>
  </x:numFmts>
  <x:fonts count="10">
    <x:font>
      <x:sz val="11"/>
      <x:name val="Carlito"/>
    </x:font>
    <x:font>
      <x:sz val="10.5"/>
      <x:color rgb="FF17212B"/>
      <x:name val="Microsoft YaHei"/>
    </x:font>
    <x:font>
      <x:b/>
      <x:sz val="16"/>
      <x:color rgb="FF17212B"/>
      <x:name val="Microsoft YaHei"/>
    </x:font>
    <x:font>
      <x:sz val="9.5"/>
      <x:color rgb="FF52606D"/>
      <x:name val="Microsoft YaHei"/>
    </x:font>
    <x:font>
      <x:b/>
      <x:sz val="11"/>
      <x:color rgb="FF17212B"/>
      <x:name val="Microsoft YaHei"/>
    </x:font>
    <x:font>
      <x:b/>
      <x:sz val="10.5"/>
      <x:color rgb="FFFFFFFF"/>
      <x:name val="Microsoft YaHei"/>
    </x:font>
    <x:font>
      <x:i/>
      <x:sz val="9"/>
      <x:color rgb="FF52606D"/>
      <x:name val="Microsoft YaHei"/>
    </x:font>
    <x:font>
      <x:sz val="10.5"/>
      <x:color rgb="FF17212B"/>
      <x:name val="Microsoft YaHei"/>
    </x:font>
    <x:font>
      <x:b/>
      <x:sz val="10.5"/>
      <x:color rgb="FF17212B"/>
      <x:name val="Microsoft YaHei"/>
    </x:font>
    <x:font>
      <x:i/>
      <x:sz val="8.5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2D8"/>
      </x:patternFill>
    </x:fill>
    <x:fill>
      <x:patternFill patternType="solid">
        <x:fgColor rgb="FFE8F4F1"/>
      </x:patternFill>
    </x:fill>
    <x:fill>
      <x:patternFill patternType="solid">
        <x:fgColor rgb="FF0F766E"/>
      </x:patternFill>
    </x:fill>
    <x:fill>
      <x:patternFill patternType="solid">
        <x:fgColor rgb="FFF5FAF8"/>
      </x:patternFill>
    </x:fill>
    <x:fill>
      <x:patternFill patternType="solid">
        <x:fgColor rgb="FF274E49"/>
      </x:patternFill>
    </x:fill>
  </x:fills>
  <x:borders count="14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/>
      <x:right style="thin">
        <x:color rgb="FFFFFFFF"/>
      </x:right>
      <x:top style="thin">
        <x:color rgb="FF0F766E"/>
      </x:top>
      <x:bottom style="thin">
        <x:color rgb="FF0F766E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0F766E"/>
      </x:top>
      <x:bottom style="thin">
        <x:color rgb="FF0F766E"/>
      </x:bottom>
      <x:diagonal/>
    </x:border>
    <x:border>
      <x:left style="thin">
        <x:color rgb="FFFFFFFF"/>
      </x:left>
      <x:right/>
      <x:top style="thin">
        <x:color rgb="FF0F766E"/>
      </x:top>
      <x:bottom style="thin">
        <x:color rgb="FF0F766E"/>
      </x:bottom>
      <x:diagonal/>
    </x:border>
    <x:border>
      <x:left style="thin">
        <x:color rgb="FFD9D9D9"/>
      </x:left>
      <x:right style="thin">
        <x:color rgb="FFD9D9D9"/>
      </x:right>
      <x:top/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A8D6CB"/>
      </x:top>
      <x:bottom style="thin">
        <x:color rgb="FFA8D6CB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0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right" vertical="center"/>
    </x:xf>
    <x:xf numFmtId="0" fontId="1" fillId="6" borderId="5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right" vertical="center"/>
    </x:xf>
    <x:xf numFmtId="0" fontId="1" fillId="6" borderId="5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right" vertical="center"/>
    </x:xf>
    <x:xf numFmtId="0" fontId="1" fillId="2" borderId="6" xfId="0" applyNumberFormat="1" applyFont="1" applyFill="1" applyBorder="1" applyAlignment="1">
      <x:alignment horizontal="left" vertical="center" wrapText="1"/>
    </x:xf>
    <x:xf numFmtId="0" fontId="1" fillId="6" borderId="6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 wrapText="1"/>
    </x:xf>
    <x:xf numFmtId="0" fontId="1" fillId="6" borderId="6" xfId="0" applyNumberFormat="1" applyFont="1" applyFill="1" applyBorder="1" applyAlignment="1">
      <x:alignment horizontal="right" vertical="center"/>
    </x:xf>
    <x:xf numFmtId="0" fontId="1" fillId="6" borderId="6" xfId="0" applyNumberFormat="1" applyFont="1" applyFill="1" applyBorder="1" applyAlignment="1">
      <x:alignment horizontal="left" vertical="center" wrapText="1"/>
    </x:xf>
    <x:xf numFmtId="201" fontId="1" fillId="6" borderId="5" xfId="0" applyNumberFormat="1" applyFont="1" applyFill="1" applyBorder="1" applyAlignment="1">
      <x:alignment horizontal="right" vertical="center"/>
    </x:xf>
    <x:xf numFmtId="201" fontId="1" fillId="2" borderId="6" xfId="0" applyNumberFormat="1" applyFont="1" applyFill="1" applyBorder="1" applyAlignment="1">
      <x:alignment horizontal="right" vertical="center"/>
    </x:xf>
    <x:xf numFmtId="201" fontId="1" fillId="6" borderId="6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201" fontId="4" fillId="4" borderId="7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horizontal="right" vertical="center"/>
    </x:xf>
    <x:xf numFmtId="201" fontId="4" fillId="4" borderId="7" xfId="0" applyNumberFormat="1" applyFont="1" applyFill="1" applyBorder="1" applyAlignment="1">
      <x:alignment horizontal="right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8" xfId="0" applyNumberFormat="1" applyFont="1" applyFill="1" applyBorder="1" applyAlignment="1">
      <x:alignment horizontal="center" vertical="center"/>
    </x:xf>
    <x:xf numFmtId="0" fontId="5" fillId="7" borderId="9" xfId="0" applyNumberFormat="1" applyFont="1" applyFill="1" applyBorder="1" applyAlignment="1">
      <x:alignment horizontal="center" vertical="center"/>
    </x:xf>
    <x:xf numFmtId="0" fontId="5" fillId="7" borderId="1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right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7" fillId="2" borderId="5" xfId="0" applyNumberFormat="1" applyFont="1" applyFill="1" applyBorder="1" applyAlignment="1">
      <x:alignment horizontal="left" vertical="center" wrapText="1"/>
    </x:xf>
    <x:xf numFmtId="0" fontId="7" fillId="2" borderId="5" xfId="0" applyNumberFormat="1" applyFont="1" applyFill="1" applyBorder="1" applyAlignment="1">
      <x:alignment horizontal="right" vertical="center" wrapText="1"/>
    </x:xf>
    <x:xf numFmtId="0" fontId="7" fillId="2" borderId="5" xfId="0" applyNumberFormat="1" applyFont="1" applyFill="1" applyBorder="1" applyAlignment="1">
      <x:alignment horizontal="center" vertical="center" wrapText="1"/>
    </x:xf>
    <x:xf numFmtId="0" fontId="7" fillId="2" borderId="6" xfId="0" applyNumberFormat="1" applyFont="1" applyFill="1" applyBorder="1" applyAlignment="1">
      <x:alignment horizontal="left" vertical="center" wrapText="1"/>
    </x:xf>
    <x:xf numFmtId="0" fontId="7" fillId="2" borderId="6" xfId="0" applyNumberFormat="1" applyFont="1" applyFill="1" applyBorder="1" applyAlignment="1">
      <x:alignment horizontal="right" vertical="center" wrapText="1"/>
    </x:xf>
    <x:xf numFmtId="0" fontId="7" fillId="2" borderId="6" xfId="0" applyNumberFormat="1" applyFont="1" applyFill="1" applyBorder="1" applyAlignment="1">
      <x:alignment horizontal="center" vertical="center" wrapText="1"/>
    </x:xf>
    <x:xf numFmtId="0" fontId="8" fillId="6" borderId="6" xfId="0" applyNumberFormat="1" applyFont="1" applyFill="1" applyBorder="1" applyAlignment="1">
      <x:alignment horizontal="left" vertical="center" wrapText="1"/>
    </x:xf>
    <x:xf numFmtId="0" fontId="8" fillId="6" borderId="6" xfId="0" applyNumberFormat="1" applyFont="1" applyFill="1" applyBorder="1" applyAlignment="1">
      <x:alignment horizontal="right" vertical="center" wrapText="1"/>
    </x:xf>
    <x:xf numFmtId="0" fontId="8" fillId="6" borderId="6" xfId="0" applyNumberFormat="1" applyFont="1" applyFill="1" applyBorder="1" applyAlignment="1">
      <x:alignment horizontal="center" vertical="center" wrapText="1"/>
    </x:xf>
    <x:xf numFmtId="202" fontId="7" fillId="2" borderId="5" xfId="0" applyNumberFormat="1" applyFont="1" applyFill="1" applyBorder="1" applyAlignment="1">
      <x:alignment horizontal="right" vertical="center" wrapText="1"/>
    </x:xf>
    <x:xf numFmtId="202" fontId="7" fillId="2" borderId="6" xfId="0" applyNumberFormat="1" applyFont="1" applyFill="1" applyBorder="1" applyAlignment="1">
      <x:alignment horizontal="right" vertical="center" wrapText="1"/>
    </x:xf>
    <x:xf numFmtId="202" fontId="8" fillId="6" borderId="6" xfId="0" applyNumberFormat="1" applyFont="1" applyFill="1" applyBorder="1" applyAlignment="1">
      <x:alignment horizontal="right" vertical="center" wrapText="1"/>
    </x:xf>
    <x:xf numFmtId="201" fontId="7" fillId="2" borderId="5" xfId="0" applyNumberFormat="1" applyFont="1" applyFill="1" applyBorder="1" applyAlignment="1">
      <x:alignment horizontal="right" vertical="center" wrapText="1"/>
    </x:xf>
    <x:xf numFmtId="201" fontId="7" fillId="2" borderId="6" xfId="0" applyNumberFormat="1" applyFont="1" applyFill="1" applyBorder="1" applyAlignment="1">
      <x:alignment horizontal="right" vertical="center" wrapText="1"/>
    </x:xf>
    <x:xf numFmtId="201" fontId="8" fillId="6" borderId="6" xfId="0" applyNumberFormat="1" applyFont="1" applyFill="1" applyBorder="1" applyAlignment="1">
      <x:alignment horizontal="right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6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left" vertical="center" wrapText="1"/>
    </x:xf>
    <x:xf numFmtId="0" fontId="1" fillId="2" borderId="13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389888cba4942" /><Relationship Type="http://schemas.openxmlformats.org/officeDocument/2006/relationships/theme" Target="/xl/theme/theme1.xml" Id="Re2301fab1e874c7e" /><Relationship Type="http://schemas.openxmlformats.org/officeDocument/2006/relationships/sharedStrings" Target="/xl/sharedStrings.xml" Id="Ra3ec87678b0e49b6" /><Relationship Type="http://schemas.openxmlformats.org/officeDocument/2006/relationships/worksheet" Target="/xl/worksheets/sheet1.xml" Id="Rba200630d5e343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9" hidden="0" customWidth="1"/>
    <x:col min="2" max="2" width="20" hidden="0" customWidth="1"/>
    <x:col min="3" max="3" width="45" hidden="0" customWidth="1"/>
    <x:col min="4" max="4" width="9" hidden="0" customWidth="1"/>
    <x:col min="5" max="5" width="12" hidden="0" customWidth="1"/>
    <x:col min="6" max="6" width="18" hidden="0" customWidth="1"/>
    <x:col min="7" max="7" width="19" hidden="0" customWidth="1"/>
    <x:col min="8" max="8" width="26" hidden="0" customWidth="1"/>
  </x:cols>
  <x:sheetData>
    <x:row r="1" ht="1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5" t="str">
        <x:v>门诊预约与分诊协作 数智化方案报价单</x:v>
      </x:c>
      <x:c r="B2" s="5" t="str">
        <x:v>门诊预约与分诊协作 数智化方案报价单</x:v>
      </x:c>
      <x:c r="C2" s="5" t="str">
        <x:v>门诊预约与分诊协作 数智化方案报价单</x:v>
      </x:c>
      <x:c r="D2" s="5" t="str">
        <x:v>门诊预约与分诊协作 数智化方案报价单</x:v>
      </x:c>
      <x:c r="E2" s="5" t="str">
        <x:v>门诊预约与分诊协作 数智化方案报价单</x:v>
      </x:c>
      <x:c r="F2" s="5" t="str">
        <x:v>门诊预约与分诊协作 数智化方案报价单</x:v>
      </x:c>
      <x:c r="G2" s="5" t="str">
        <x:v>门诊预约与分诊协作 数智化方案报价单</x:v>
      </x:c>
      <x:c r="H2" s="5" t="str">
        <x:v>门诊预约与分诊协作 数智化方案报价单</x:v>
      </x:c>
    </x:row>
    <x:row r="3" ht="22" customHeight="1">
      <x:c r="A3" s="7" t="str">
        <x:v>基于 FDE Discovery Lab 合成场景报告 | 首期两个常规门诊 | 方案版本 V1.0</x:v>
      </x:c>
      <x:c r="B3" s="7" t="str">
        <x:v>基于 FDE Discovery Lab 合成场景报告 | 首期两个常规门诊 | 方案版本 V1.0</x:v>
      </x:c>
      <x:c r="C3" s="7" t="str">
        <x:v>基于 FDE Discovery Lab 合成场景报告 | 首期两个常规门诊 | 方案版本 V1.0</x:v>
      </x:c>
      <x:c r="D3" s="7" t="str">
        <x:v>基于 FDE Discovery Lab 合成场景报告 | 首期两个常规门诊 | 方案版本 V1.0</x:v>
      </x:c>
      <x:c r="E3" s="7" t="str">
        <x:v>基于 FDE Discovery Lab 合成场景报告 | 首期两个常规门诊 | 方案版本 V1.0</x:v>
      </x:c>
      <x:c r="F3" s="7" t="str">
        <x:v>基于 FDE Discovery Lab 合成场景报告 | 首期两个常规门诊 | 方案版本 V1.0</x:v>
      </x:c>
      <x:c r="G3" s="7" t="str">
        <x:v>基于 FDE Discovery Lab 合成场景报告 | 首期两个常规门诊 | 方案版本 V1.0</x:v>
      </x:c>
      <x:c r="H3" s="7" t="str">
        <x:v>基于 FDE Discovery Lab 合成场景报告 | 首期两个常规门诊 | 方案版本 V1.0</x:v>
      </x:c>
    </x:row>
    <x:row r="4">
      <x:c r="A4" s="2"/>
      <x:c r="B4" s="2"/>
      <x:c r="C4" s="2"/>
      <x:c r="D4" s="2"/>
      <x:c r="E4" s="2"/>
      <x:c r="F4" s="2"/>
      <x:c r="G4" s="2"/>
      <x:c r="H4" s="2"/>
    </x:row>
    <x:row r="5" ht="27" customHeight="1">
      <x:c r="A5" s="15" t="str">
        <x:v>项目编号</x:v>
      </x:c>
      <x:c r="B5" s="15" t="str">
        <x:v>OP-2026-001</x:v>
      </x:c>
      <x:c r="C5" s="15" t="str"/>
      <x:c r="D5" s="15" t="str">
        <x:v>客户</x:v>
      </x:c>
      <x:c r="E5" s="15" t="str">
        <x:v>东湖门诊中心</x:v>
      </x:c>
      <x:c r="F5" s="15" t="str"/>
      <x:c r="G5" s="15" t="str">
        <x:v>方案版本</x:v>
      </x:c>
      <x:c r="H5" s="15" t="str">
        <x:v>V1.0</x:v>
      </x:c>
    </x:row>
    <x:row r="6" ht="27" customHeight="1">
      <x:c r="A6" s="15" t="str">
        <x:v>报价日期</x:v>
      </x:c>
      <x:c r="B6" s="16" t="d">
        <x:v>2026-10-23T00:00:00.000Z</x:v>
      </x:c>
      <x:c r="C6" s="15" t="str"/>
      <x:c r="D6" s="15" t="str">
        <x:v>有效期</x:v>
      </x:c>
      <x:c r="E6" s="15" t="str">
        <x:v>30天</x:v>
      </x:c>
      <x:c r="F6" s="15" t="str"/>
      <x:c r="G6" s="15" t="str">
        <x:v>实施周期</x:v>
      </x:c>
      <x:c r="H6" s="15" t="str">
        <x:v>10周</x:v>
      </x:c>
    </x:row>
    <x:row r="7" ht="27" customHeight="1">
      <x:c r="A7" s="15" t="str">
        <x:v>首期预算</x:v>
      </x:c>
      <x:c r="B7" s="17" t="n">
        <x:v>160000</x:v>
      </x:c>
      <x:c r="C7" s="15" t="str"/>
      <x:c r="D7" s="15" t="str">
        <x:v>币种</x:v>
      </x:c>
      <x:c r="E7" s="15" t="str">
        <x:v>人民币 CNY</x:v>
      </x:c>
      <x:c r="F7" s="15" t="str"/>
      <x:c r="G7" s="15" t="str">
        <x:v>定价方式</x:v>
      </x:c>
      <x:c r="H7" s="15" t="str">
        <x:v>固定总价</x:v>
      </x:c>
    </x:row>
    <x:row r="8" ht="27" customHeight="1">
      <x:c r="A8" s="18" t="str">
        <x:v>费用口径</x:v>
      </x:c>
      <x:c r="B8" s="18" t="str">
        <x:v>含税</x:v>
      </x:c>
      <x:c r="C8" s="18" t="str"/>
      <x:c r="D8" s="18" t="str">
        <x:v>范围口径</x:v>
      </x:c>
      <x:c r="E8" s="18" t="str">
        <x:v>含集成、培训与验证</x:v>
      </x:c>
      <x:c r="F8" s="18" t="str"/>
      <x:c r="G8" s="18" t="str">
        <x:v>验收基线</x:v>
      </x:c>
      <x:c r="H8" s="18" t="str">
        <x:v>待书面确认</x:v>
      </x:c>
    </x:row>
    <x:row r="9" ht="24" customHeight="1">
      <x:c r="A9" s="21" t="str">
        <x:v>一、首期费用明细</x:v>
      </x:c>
      <x:c r="B9" s="21" t="str">
        <x:v>一、首期费用明细</x:v>
      </x:c>
      <x:c r="C9" s="21" t="str">
        <x:v>一、首期费用明细</x:v>
      </x:c>
      <x:c r="D9" s="21" t="str">
        <x:v>一、首期费用明细</x:v>
      </x:c>
      <x:c r="E9" s="21" t="str">
        <x:v>一、首期费用明细</x:v>
      </x:c>
      <x:c r="F9" s="21" t="str">
        <x:v>一、首期费用明细</x:v>
      </x:c>
      <x:c r="G9" s="21" t="str">
        <x:v>一、首期费用明细</x:v>
      </x:c>
      <x:c r="H9" s="21" t="str">
        <x:v>一、首期费用明细</x:v>
      </x:c>
    </x:row>
    <x:row r="10" ht="30" customHeight="1">
      <x:c r="A10" s="25" t="str">
        <x:v>序号</x:v>
      </x:c>
      <x:c r="B10" s="26" t="str">
        <x:v>费用项</x:v>
      </x:c>
      <x:c r="C10" s="26" t="str">
        <x:v>工作内容与交付</x:v>
      </x:c>
      <x:c r="D10" s="26" t="str">
        <x:v>数量</x:v>
      </x:c>
      <x:c r="E10" s="26" t="str">
        <x:v>单位</x:v>
      </x:c>
      <x:c r="F10" s="26" t="str">
        <x:v>含税单价</x:v>
      </x:c>
      <x:c r="G10" s="26" t="str">
        <x:v>含税金额</x:v>
      </x:c>
      <x:c r="H10" s="27" t="str">
        <x:v>备注</x:v>
      </x:c>
    </x:row>
    <x:row r="11" ht="58" customHeight="1">
      <x:c r="A11" s="38" t="n">
        <x:v>1</x:v>
      </x:c>
      <x:c r="B11" s="38" t="str">
        <x:v>诊断与等待口径定义</x:v>
      </x:c>
      <x:c r="C11" s="39" t="str">
        <x:v>复核现状访谈；统一患者、叫号系统与运营三种等待口径；明确节点起止、分母、排除规则与试点验收基线。</x:v>
      </x:c>
      <x:c r="D11" s="38" t="n">
        <x:v>1</x:v>
      </x:c>
      <x:c r="E11" s="38" t="str">
        <x:v>项</x:v>
      </x:c>
      <x:c r="F11" s="50" t="n">
        <x:v>18000</x:v>
      </x:c>
      <x:c r="G11" s="50" t="n">
        <x:f>D11*F11</x:f>
        <x:v>18000</x:v>
      </x:c>
      <x:c r="H11" s="41" t="str">
        <x:v>验收前置工作</x:v>
      </x:c>
    </x:row>
    <x:row r="12" ht="58" customHeight="1">
      <x:c r="A12" s="42" t="n">
        <x:v>2</x:v>
      </x:c>
      <x:c r="B12" s="42" t="str">
        <x:v>只读集成</x:v>
      </x:c>
      <x:c r="C12" s="43" t="str">
        <x:v>对接预约、HIS、排班与叫号状态；建立业务编号、事件时间轴、版本快照和去重规则。</x:v>
      </x:c>
      <x:c r="D12" s="42" t="n">
        <x:v>1</x:v>
      </x:c>
      <x:c r="E12" s="42" t="str">
        <x:v>项</x:v>
      </x:c>
      <x:c r="F12" s="51" t="n">
        <x:v>42000</x:v>
      </x:c>
      <x:c r="G12" s="51" t="n">
        <x:f>D12*F12</x:f>
        <x:v>42000</x:v>
      </x:c>
      <x:c r="H12" s="45" t="str">
        <x:v>不改变业务状态</x:v>
      </x:c>
    </x:row>
    <x:row r="13" ht="66" customHeight="1">
      <x:c r="A13" s="46" t="n">
        <x:v>3</x:v>
      </x:c>
      <x:c r="B13" s="46" t="str">
        <x:v>队列与等待解释辅助</x:v>
      </x:c>
      <x:c r="C13" s="47" t="str">
        <x:v>基于当前队列状态生成等待原因和信息解释草稿；展示来源、更新时间与暂未更新状态，由导诊护士确认后使用。</x:v>
      </x:c>
      <x:c r="D13" s="46" t="n">
        <x:v>1</x:v>
      </x:c>
      <x:c r="E13" s="46" t="str">
        <x:v>项</x:v>
      </x:c>
      <x:c r="F13" s="52" t="n">
        <x:v>28000</x:v>
      </x:c>
      <x:c r="G13" s="52" t="n">
        <x:f>D13*F13</x:f>
        <x:v>28000</x:v>
      </x:c>
      <x:c r="H13" s="49" t="str">
        <x:v>只生成草稿</x:v>
      </x:c>
    </x:row>
    <x:row r="14" ht="66" customHeight="1">
      <x:c r="A14" s="42" t="n">
        <x:v>4</x:v>
      </x:c>
      <x:c r="B14" s="42" t="str">
        <x:v>排班与通知异常检测</x:v>
      </x:c>
      <x:c r="C14" s="43" t="str">
        <x:v>识别迟到、现场加号、排班同步延迟和叫号冲突；风险场景暂停对外通知并转排班管理员核对。</x:v>
      </x:c>
      <x:c r="D14" s="42" t="n">
        <x:v>1</x:v>
      </x:c>
      <x:c r="E14" s="42" t="str">
        <x:v>项</x:v>
      </x:c>
      <x:c r="F14" s="51" t="n">
        <x:v>22000</x:v>
      </x:c>
      <x:c r="G14" s="51" t="n">
        <x:f>D14*F14</x:f>
        <x:v>22000</x:v>
      </x:c>
      <x:c r="H14" s="45" t="str">
        <x:v>高风险场景人工处理</x:v>
      </x:c>
    </x:row>
    <x:row r="15" ht="66" customHeight="1">
      <x:c r="A15" s="46" t="n">
        <x:v>5</x:v>
      </x:c>
      <x:c r="B15" s="46" t="str">
        <x:v>急症升级、权限与审计</x:v>
      </x:c>
      <x:c r="C15" s="47" t="str">
        <x:v>急症提示全部转人工；配置角色权限、交接确认、停止条件，以及业务编号、证据、建议、改动与签核留痕。</x:v>
      </x:c>
      <x:c r="D15" s="46" t="n">
        <x:v>1</x:v>
      </x:c>
      <x:c r="E15" s="46" t="str">
        <x:v>项</x:v>
      </x:c>
      <x:c r="F15" s="52" t="n">
        <x:v>20000</x:v>
      </x:c>
      <x:c r="G15" s="52" t="n">
        <x:f>D15*F15</x:f>
        <x:v>20000</x:v>
      </x:c>
      <x:c r="H15" s="49" t="str">
        <x:v>不自动分诊</x:v>
      </x:c>
    </x:row>
    <x:row r="16" ht="66" customHeight="1">
      <x:c r="A16" s="42" t="n">
        <x:v>6</x:v>
      </x:c>
      <x:c r="B16" s="42" t="str">
        <x:v>历史回放、两个门诊试点与培训</x:v>
      </x:c>
      <x:c r="C16" s="43" t="str">
        <x:v>先用历史样本回放，再在两个常规门诊并行验证；完成角色培训、问题修复、指标复盘和验收材料。</x:v>
      </x:c>
      <x:c r="D16" s="42" t="n">
        <x:v>1</x:v>
      </x:c>
      <x:c r="E16" s="42" t="str">
        <x:v>项</x:v>
      </x:c>
      <x:c r="F16" s="51" t="n">
        <x:v>18000</x:v>
      </x:c>
      <x:c r="G16" s="51" t="n">
        <x:f>D16*F16</x:f>
        <x:v>18000</x:v>
      </x:c>
      <x:c r="H16" s="45" t="str">
        <x:v>至少 20% 等待下降</x:v>
      </x:c>
    </x:row>
    <x:row r="17" ht="66" customHeight="1">
      <x:c r="A17" s="46" t="n">
        <x:v>7</x:v>
      </x:c>
      <x:c r="B17" s="46" t="str">
        <x:v>项目管理与验收</x:v>
      </x:c>
      <x:c r="C17" s="47" t="str">
        <x:v>项目计划、风险与问题管理、周会、范围变更记录、测试协调和验收文档。</x:v>
      </x:c>
      <x:c r="D17" s="46" t="n">
        <x:v>1</x:v>
      </x:c>
      <x:c r="E17" s="46" t="str">
        <x:v>项</x:v>
      </x:c>
      <x:c r="F17" s="52" t="n">
        <x:v>12000</x:v>
      </x:c>
      <x:c r="G17" s="52" t="n">
        <x:f>D17*F17</x:f>
        <x:v>12000</x:v>
      </x:c>
      <x:c r="H17" s="49" t="str">
        <x:v>固定总价</x:v>
      </x:c>
    </x:row>
    <x:row r="18" ht="30" customHeight="1">
      <x:c r="A18" s="58" t="str">
        <x:v>首期合计（含税）</x:v>
      </x:c>
      <x:c r="B18" s="58"/>
      <x:c r="C18" s="58"/>
      <x:c r="D18" s="58"/>
      <x:c r="E18" s="58"/>
      <x:c r="F18" s="59"/>
      <x:c r="G18" s="59" t="n">
        <x:f>SUM(G11:G17)</x:f>
        <x:v>160000</x:v>
      </x:c>
      <x:c r="H18" s="60" t="str">
        <x:f>IF(ABS(G18-B7)&lt;0.01,"与预算一致","需复核")</x:f>
        <x:v>与预算一致</x:v>
      </x:c>
    </x:row>
    <x:row r="19" ht="22" customHeight="1">
      <x:c r="A19" s="62" t="str">
        <x:v>金额单位：人民币元。单价和金额均为含税价，数量变更需通过书面变更单确认。</x:v>
      </x:c>
      <x:c r="B19" s="62" t="str">
        <x:v>金额单位：人民币元。单价和金额均为含税价，数量变更需通过书面变更单确认。</x:v>
      </x:c>
      <x:c r="C19" s="62" t="str">
        <x:v>金额单位：人民币元。单价和金额均为含税价，数量变更需通过书面变更单确认。</x:v>
      </x:c>
      <x:c r="D19" s="62" t="str">
        <x:v>金额单位：人民币元。单价和金额均为含税价，数量变更需通过书面变更单确认。</x:v>
      </x:c>
      <x:c r="E19" s="62" t="str">
        <x:v>金额单位：人民币元。单价和金额均为含税价，数量变更需通过书面变更单确认。</x:v>
      </x:c>
      <x:c r="F19" s="62" t="str">
        <x:v>金额单位：人民币元。单价和金额均为含税价，数量变更需通过书面变更单确认。</x:v>
      </x:c>
      <x:c r="G19" s="62" t="str">
        <x:v>金额单位：人民币元。单价和金额均为含税价，数量变更需通过书面变更单确认。</x:v>
      </x:c>
      <x:c r="H19" s="62" t="str">
        <x:v>金额单位：人民币元。单价和金额均为含税价，数量变更需通过书面变更单确认。</x:v>
      </x:c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1" t="str">
        <x:v>二、建议付款节点</x:v>
      </x:c>
      <x:c r="B21" s="21" t="str">
        <x:v>二、建议付款节点</x:v>
      </x:c>
      <x:c r="C21" s="21" t="str">
        <x:v>二、建议付款节点</x:v>
      </x:c>
      <x:c r="D21" s="21" t="str">
        <x:v>二、建议付款节点</x:v>
      </x:c>
      <x:c r="E21" s="21" t="str">
        <x:v>二、建议付款节点</x:v>
      </x:c>
      <x:c r="F21" s="21" t="str">
        <x:v>二、建议付款节点</x:v>
      </x:c>
      <x:c r="G21" s="21" t="str">
        <x:v>二、建议付款节点</x:v>
      </x:c>
      <x:c r="H21" s="21" t="str">
        <x:v>二、建议付款节点</x:v>
      </x:c>
    </x:row>
    <x:row r="22" ht="28" customHeight="1">
      <x:c r="A22" s="66" t="str">
        <x:v>节点</x:v>
      </x:c>
      <x:c r="B22" s="67" t="str">
        <x:v>触发条件</x:v>
      </x:c>
      <x:c r="C22" s="67" t="str">
        <x:v>说明</x:v>
      </x:c>
      <x:c r="D22" s="67" t="str">
        <x:v>比例</x:v>
      </x:c>
      <x:c r="E22" s="67" t="str">
        <x:v>金额</x:v>
      </x:c>
      <x:c r="F22" s="67" t="str">
        <x:v>商务要求</x:v>
      </x:c>
      <x:c r="G22" s="67" t="str">
        <x:v>确认方</x:v>
      </x:c>
      <x:c r="H22" s="68" t="str">
        <x:v>状态</x:v>
      </x:c>
    </x:row>
    <x:row r="23" ht="42" customHeight="1">
      <x:c r="A23" s="79" t="str">
        <x:v>启动款</x:v>
      </x:c>
      <x:c r="B23" s="79" t="str">
        <x:v>范围、口径与授权确认后</x:v>
      </x:c>
      <x:c r="C23" s="79" t="str">
        <x:v>诊断与集成启动</x:v>
      </x:c>
      <x:c r="D23" s="88" t="n">
        <x:f>40%</x:f>
        <x:v>0.4</x:v>
      </x:c>
      <x:c r="E23" s="91" t="n">
        <x:f>$B$7*D23</x:f>
        <x:v>64000</x:v>
      </x:c>
      <x:c r="F23" s="79" t="str">
        <x:v>合同生效后支付</x:v>
      </x:c>
      <x:c r="G23" s="81" t="str">
        <x:v>门诊运营主任</x:v>
      </x:c>
      <x:c r="H23" s="81" t="str">
        <x:v>待确认</x:v>
      </x:c>
    </x:row>
    <x:row r="24" ht="42" customHeight="1">
      <x:c r="A24" s="82" t="str">
        <x:v>试点上线款</x:v>
      </x:c>
      <x:c r="B24" s="82" t="str">
        <x:v>历史回放通过并进入并行试点</x:v>
      </x:c>
      <x:c r="C24" s="82" t="str">
        <x:v>两个常规门诊上线</x:v>
      </x:c>
      <x:c r="D24" s="89" t="n">
        <x:f>40%</x:f>
        <x:v>0.4</x:v>
      </x:c>
      <x:c r="E24" s="92" t="n">
        <x:f>$B$7*D24</x:f>
        <x:v>64000</x:v>
      </x:c>
      <x:c r="F24" s="82" t="str">
        <x:v>回放问题关闭后支付</x:v>
      </x:c>
      <x:c r="G24" s="84" t="str">
        <x:v>项目双方</x:v>
      </x:c>
      <x:c r="H24" s="84" t="str">
        <x:v>待确认</x:v>
      </x:c>
    </x:row>
    <x:row r="25" ht="42" customHeight="1">
      <x:c r="A25" s="82" t="str">
        <x:v>验收款</x:v>
      </x:c>
      <x:c r="B25" s="82" t="str">
        <x:v>试点指标和审计检查完成</x:v>
      </x:c>
      <x:c r="C25" s="82" t="str">
        <x:v>验收报告签署</x:v>
      </x:c>
      <x:c r="D25" s="89" t="n">
        <x:f>20%</x:f>
        <x:v>0.2</x:v>
      </x:c>
      <x:c r="E25" s="92" t="n">
        <x:f>$B$7*D25</x:f>
        <x:v>32000</x:v>
      </x:c>
      <x:c r="F25" s="82" t="str">
        <x:v>遗留项有明确计划</x:v>
      </x:c>
      <x:c r="G25" s="84" t="str">
        <x:v>运营、质控、患者服务</x:v>
      </x:c>
      <x:c r="H25" s="84" t="str">
        <x:v>待确认</x:v>
      </x:c>
    </x:row>
    <x:row r="26" ht="42" customHeight="1">
      <x:c r="A26" s="85" t="str">
        <x:v>合计</x:v>
      </x:c>
      <x:c r="B26" s="85" t="str"/>
      <x:c r="C26" s="85" t="str"/>
      <x:c r="D26" s="90" t="n">
        <x:f>SUM(D23:D25)</x:f>
        <x:v>1</x:v>
      </x:c>
      <x:c r="E26" s="93" t="n">
        <x:f>SUM(E23:E25)</x:f>
        <x:v>160000</x:v>
      </x:c>
      <x:c r="F26" s="85" t="str"/>
      <x:c r="G26" s="87" t="str"/>
      <x:c r="H26" s="87" t="str"/>
    </x:row>
    <x:row r="27" ht="22" customHeight="1">
      <x:c r="A27" s="62" t="str">
        <x:v>付款节点为建议方案，正式合同可依据里程碑定义调整；逾期付款可能影响实施排期。</x:v>
      </x:c>
      <x:c r="B27" s="62" t="str">
        <x:v>付款节点为建议方案，正式合同可依据里程碑定义调整；逾期付款可能影响实施排期。</x:v>
      </x:c>
      <x:c r="C27" s="62" t="str">
        <x:v>付款节点为建议方案，正式合同可依据里程碑定义调整；逾期付款可能影响实施排期。</x:v>
      </x:c>
      <x:c r="D27" s="62" t="str">
        <x:v>付款节点为建议方案，正式合同可依据里程碑定义调整；逾期付款可能影响实施排期。</x:v>
      </x:c>
      <x:c r="E27" s="62" t="str">
        <x:v>付款节点为建议方案，正式合同可依据里程碑定义调整；逾期付款可能影响实施排期。</x:v>
      </x:c>
      <x:c r="F27" s="62" t="str">
        <x:v>付款节点为建议方案，正式合同可依据里程碑定义调整；逾期付款可能影响实施排期。</x:v>
      </x:c>
      <x:c r="G27" s="62" t="str">
        <x:v>付款节点为建议方案，正式合同可依据里程碑定义调整；逾期付款可能影响实施排期。</x:v>
      </x:c>
      <x:c r="H27" s="62" t="str">
        <x:v>付款节点为建议方案，正式合同可依据里程碑定义调整；逾期付款可能影响实施排期。</x:v>
      </x:c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 ht="24" customHeight="1">
      <x:c r="A29" s="21" t="str">
        <x:v>三、商务假设与项目边界</x:v>
      </x:c>
      <x:c r="B29" s="21" t="str">
        <x:v>三、商务假设与项目边界</x:v>
      </x:c>
      <x:c r="C29" s="21" t="str">
        <x:v>三、商务假设与项目边界</x:v>
      </x:c>
      <x:c r="D29" s="21" t="str">
        <x:v>三、商务假设与项目边界</x:v>
      </x:c>
      <x:c r="E29" s="21" t="str">
        <x:v>三、商务假设与项目边界</x:v>
      </x:c>
      <x:c r="F29" s="21" t="str">
        <x:v>三、商务假设与项目边界</x:v>
      </x:c>
      <x:c r="G29" s="21" t="str">
        <x:v>三、商务假设与项目边界</x:v>
      </x:c>
      <x:c r="H29" s="21" t="str">
        <x:v>三、商务假设与项目边界</x:v>
      </x:c>
    </x:row>
    <x:row r="30" ht="44" customHeight="1">
      <x:c r="A30" s="95" t="str">
        <x:v>计价范围</x:v>
      </x:c>
      <x:c r="B30" s="96" t="str">
        <x:v>首期固定总价</x:v>
      </x:c>
      <x:c r="C30" s="96" t="str">
        <x:v>包含：需求诊断、只读集成、解释辅助、异常检测、人工闸门、权限审计、历史回放、两个门诊试点、培训、验证和项目管理。</x:v>
      </x:c>
      <x:c r="D30" s="96" t="str"/>
      <x:c r="E30" s="96" t="str"/>
      <x:c r="F30" s="96" t="str"/>
      <x:c r="G30" s="96" t="str"/>
      <x:c r="H30" s="96" t="str">
        <x:v>人民币含税</x:v>
      </x:c>
    </x:row>
    <x:row r="31" ht="44" customHeight="1">
      <x:c r="A31" s="95" t="str">
        <x:v>不包含</x:v>
      </x:c>
      <x:c r="B31" s="96" t="str">
        <x:v>另行计价</x:v>
      </x:c>
      <x:c r="C31" s="96" t="str">
        <x:v>硬件、云资源、模型调用、人工复核人力、第三方接口改造、额外诊区扩展、生产监控值守。</x:v>
      </x:c>
      <x:c r="D31" s="96" t="str"/>
      <x:c r="E31" s="96" t="str"/>
      <x:c r="F31" s="96" t="str"/>
      <x:c r="G31" s="96" t="str"/>
      <x:c r="H31" s="96" t="str">
        <x:v>按实际发生确认</x:v>
      </x:c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1" t="str">
        <x:v>四、报价前提与风险说明</x:v>
      </x:c>
      <x:c r="B33" s="21" t="str">
        <x:v>四、报价前提与风险说明</x:v>
      </x:c>
      <x:c r="C33" s="21" t="str">
        <x:v>四、报价前提与风险说明</x:v>
      </x:c>
      <x:c r="D33" s="21" t="str">
        <x:v>四、报价前提与风险说明</x:v>
      </x:c>
      <x:c r="E33" s="21" t="str">
        <x:v>四、报价前提与风险说明</x:v>
      </x:c>
      <x:c r="F33" s="21" t="str">
        <x:v>四、报价前提与风险说明</x:v>
      </x:c>
      <x:c r="G33" s="21" t="str">
        <x:v>四、报价前提与风险说明</x:v>
      </x:c>
      <x:c r="H33" s="21" t="str">
        <x:v>四、报价前提与风险说明</x:v>
      </x:c>
    </x:row>
    <x:row r="34" ht="36" customHeight="1">
      <x:c r="A34" s="100" t="str">
        <x:v>1</x:v>
      </x:c>
      <x:c r="B34" s="101" t="str">
        <x:v>本报价基于合成场景报告。等待口径、交接完整度、排班同步延迟、授权范围和留存期限仍待验证。</x:v>
      </x:c>
      <x:c r="C34" s="101" t="str"/>
      <x:c r="D34" s="101" t="str"/>
      <x:c r="E34" s="101" t="str"/>
      <x:c r="F34" s="101" t="str"/>
      <x:c r="G34" s="101" t="str"/>
      <x:c r="H34" s="102" t="str"/>
    </x:row>
    <x:row r="35" ht="36" customHeight="1">
      <x:c r="A35" s="100" t="str">
        <x:v>2</x:v>
      </x:c>
      <x:c r="B35" s="101" t="str">
        <x:v>AI 对排班、队列和业务状态保持只读；急症、迟到、现场加号、交接接收与规则发布必须由授权人员确认。</x:v>
      </x:c>
      <x:c r="C35" s="101" t="str"/>
      <x:c r="D35" s="101" t="str"/>
      <x:c r="E35" s="101" t="str"/>
      <x:c r="F35" s="101" t="str"/>
      <x:c r="G35" s="101" t="str"/>
      <x:c r="H35" s="102" t="str"/>
    </x:row>
    <x:row r="36" ht="36" customHeight="1">
      <x:c r="A36" s="100" t="str">
        <x:v>3</x:v>
      </x:c>
      <x:c r="B36" s="101" t="str">
        <x:v>验收采用两个常规门诊的书面冻结口径，等待时间至少下降 20%；未完成基线签认前不启动正式验收。</x:v>
      </x:c>
      <x:c r="C36" s="101" t="str"/>
      <x:c r="D36" s="101" t="str"/>
      <x:c r="E36" s="101" t="str"/>
      <x:c r="F36" s="101" t="str"/>
      <x:c r="G36" s="101" t="str"/>
      <x:c r="H36" s="102" t="str"/>
    </x:row>
    <x:row r="37" ht="36" customHeight="1">
      <x:c r="A37" s="100" t="str">
        <x:v>4</x:v>
      </x:c>
      <x:c r="B37" s="101" t="str">
        <x:v>可选运维与规则调优自验收后另行计费，起步价人民币 8,000 元/月；支持时段、服务级别和范围以运维附件为准。</x:v>
      </x:c>
      <x:c r="C37" s="101" t="str"/>
      <x:c r="D37" s="101" t="str"/>
      <x:c r="E37" s="101" t="str"/>
      <x:c r="F37" s="101" t="str"/>
      <x:c r="G37" s="101" t="str"/>
      <x:c r="H37" s="102" t="str"/>
    </x:row>
    <x:row r="38" ht="36" customHeight="1">
      <x:c r="A38" s="100" t="str">
        <x:v>5</x:v>
      </x:c>
      <x:c r="B38" s="101" t="str">
        <x:v>报价有效期 30 天。实施范围、接口数量或合规要求发生实质变化时，双方应按变更管理重新核价。</x:v>
      </x:c>
      <x:c r="C38" s="101" t="str"/>
      <x:c r="D38" s="101" t="str"/>
      <x:c r="E38" s="101" t="str"/>
      <x:c r="F38" s="101" t="str"/>
      <x:c r="G38" s="101" t="str"/>
      <x:c r="H38" s="102" t="str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 ht="30" customHeight="1">
      <x:c r="A40" s="105" t="str">
        <x:v>来源：FDE Discovery Lab，东湖门诊中心业务需求发现报告，2026-10-23。合成场景数据，仅用于方案设计与商务演练。</x:v>
      </x:c>
      <x:c r="B40" s="105" t="str">
        <x:v>来源：FDE Discovery Lab，东湖门诊中心业务需求发现报告，2026-10-23。合成场景数据，仅用于方案设计与商务演练。</x:v>
      </x:c>
      <x:c r="C40" s="105" t="str">
        <x:v>来源：FDE Discovery Lab，东湖门诊中心业务需求发现报告，2026-10-23。合成场景数据，仅用于方案设计与商务演练。</x:v>
      </x:c>
      <x:c r="D40" s="105" t="str">
        <x:v>来源：FDE Discovery Lab，东湖门诊中心业务需求发现报告，2026-10-23。合成场景数据，仅用于方案设计与商务演练。</x:v>
      </x:c>
      <x:c r="E40" s="105" t="str">
        <x:v>来源：FDE Discovery Lab，东湖门诊中心业务需求发现报告，2026-10-23。合成场景数据，仅用于方案设计与商务演练。</x:v>
      </x:c>
      <x:c r="F40" s="105" t="str">
        <x:v>来源：FDE Discovery Lab，东湖门诊中心业务需求发现报告，2026-10-23。合成场景数据，仅用于方案设计与商务演练。</x:v>
      </x:c>
      <x:c r="G40" s="105" t="str">
        <x:v>来源：FDE Discovery Lab，东湖门诊中心业务需求发现报告，2026-10-23。合成场景数据，仅用于方案设计与商务演练。</x:v>
      </x:c>
      <x:c r="H40" s="105" t="str">
        <x:v>来源：FDE Discovery Lab，东湖门诊中心业务需求发现报告，2026-10-23。合成场景数据，仅用于方案设计与商务演练。</x:v>
      </x:c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</x:sheetData>
  <x:mergeCells>
    <x:mergeCell ref="A2:H2"/>
    <x:mergeCell ref="A3:H3"/>
    <x:mergeCell ref="B5:C5"/>
    <x:mergeCell ref="B6:C6"/>
    <x:mergeCell ref="B7:C7"/>
    <x:mergeCell ref="B8:C8"/>
    <x:mergeCell ref="E5:F5"/>
    <x:mergeCell ref="E6:F6"/>
    <x:mergeCell ref="E7:F7"/>
    <x:mergeCell ref="E8:F8"/>
    <x:mergeCell ref="A9:H9"/>
    <x:mergeCell ref="A18:F18"/>
    <x:mergeCell ref="A19:H19"/>
    <x:mergeCell ref="A21:H21"/>
    <x:mergeCell ref="A27:H27"/>
    <x:mergeCell ref="A29:H29"/>
    <x:mergeCell ref="C30:G30"/>
    <x:mergeCell ref="C31:G31"/>
    <x:mergeCell ref="A33:H33"/>
    <x:mergeCell ref="B34:H34"/>
    <x:mergeCell ref="B35:H35"/>
    <x:mergeCell ref="B36:H36"/>
    <x:mergeCell ref="B37:H37"/>
    <x:mergeCell ref="B38:H38"/>
    <x:mergeCell ref="A40:H40"/>
  </x:mergeCells>
  <x:pageMargins left="0.7" right="0.7" top="0.75" bottom="0.75" header="0.3" footer="0.3"/>
</x:worksheet>
</file>